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d673b0c2b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3c42ff9d50a14de3"/>
    <x:sheet xmlns:r="http://schemas.openxmlformats.org/officeDocument/2006/relationships" name="Scoring Guide" sheetId="2" r:id="R98ea2d5e28b4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8">
    <x:font>
      <x:sz val="11"/>
      <x:name val="Carlito"/>
    </x:font>
    <x:font>
      <x:sz val="10"/>
      <x:color rgb="FF17243B"/>
      <x:name val="Arial"/>
    </x:font>
    <x:font>
      <x:b/>
      <x:sz val="15"/>
      <x:color rgb="FF193B65"/>
      <x:name val="Arial"/>
    </x:font>
    <x:font>
      <x:i/>
      <x:sz val="10"/>
      <x:color rgb="FF617186"/>
      <x:name val="Arial"/>
    </x:font>
    <x:font>
      <x:b/>
      <x:sz val="12"/>
      <x:color rgb="FF193B65"/>
      <x:name val="Arial"/>
    </x:font>
    <x:font>
      <x:b/>
      <x:sz val="10"/>
      <x:color rgb="FFFFFFFF"/>
      <x:name val="Arial"/>
    </x:font>
    <x:font>
      <x:b/>
      <x:sz val="11"/>
      <x:color rgb="FF193B65"/>
      <x:name val="Arial"/>
    </x:font>
    <x:font>
      <x:sz val="10"/>
      <x:color rgb="FF61718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B65"/>
      </x:patternFill>
    </x:fill>
    <x:fill>
      <x:patternFill patternType="solid">
        <x:fgColor rgb="FFF7F9FC"/>
      </x:patternFill>
    </x:fill>
    <x:fill>
      <x:patternFill patternType="solid">
        <x:fgColor rgb="FFFFF0BD"/>
      </x:patternFill>
    </x:fill>
    <x:fill>
      <x:patternFill patternType="solid">
        <x:fgColor rgb="FFEF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8B1925"/>
      </x:font>
      <x:fill>
        <x:patternFill patternType="solid">
          <x:bgColor rgb="FFF9D7D7"/>
        </x:patternFill>
      </x:fill>
    </x:dxf>
    <x:dxf>
      <x:font>
        <x:b/>
        <x:color rgb="FF8A4C00"/>
      </x:font>
      <x:fill>
        <x:patternFill patternType="solid">
          <x:bgColor rgb="FFFFF0B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1e11158d24b8d" /><Relationship Type="http://schemas.openxmlformats.org/officeDocument/2006/relationships/theme" Target="/xl/theme/theme1.xml" Id="R07f39e22fca247f1" /><Relationship Type="http://schemas.openxmlformats.org/officeDocument/2006/relationships/sharedStrings" Target="/xl/sharedStrings.xml" Id="Re17fd78e48554625" /><Relationship Type="http://schemas.openxmlformats.org/officeDocument/2006/relationships/worksheet" Target="/xl/worksheets/sheet1.xml" Id="R3c42ff9d50a14de3" /><Relationship Type="http://schemas.openxmlformats.org/officeDocument/2006/relationships/worksheet" Target="/xl/worksheets/sheet2.xml" Id="R98ea2d5e28b449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B6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.779999732971191" hidden="0" customWidth="1"/>
    <x:col min="2" max="2" width="24" hidden="0" customWidth="1"/>
    <x:col min="3" max="3" width="35" hidden="0" customWidth="1"/>
    <x:col min="4" max="4" width="31.110000610351562" hidden="0" customWidth="1"/>
    <x:col min="5" max="5" width="10.5600004196167" hidden="0" customWidth="1"/>
    <x:col min="6" max="6" width="10" hidden="0" customWidth="1"/>
    <x:col min="7" max="7" width="10.220000267028809" hidden="0" customWidth="1"/>
    <x:col min="8" max="8" width="11.890000343322754" hidden="0" customWidth="1"/>
    <x:col min="9" max="9" width="11.109999656677246" hidden="0" customWidth="1"/>
    <x:col min="10" max="10" width="10.5600004196167" hidden="0" customWidth="1"/>
    <x:col min="11" max="11" width="37.220001220703125" hidden="0" customWidth="1"/>
    <x:col min="12" max="12" width="15" hidden="0" customWidth="1"/>
    <x:col min="13" max="13" width="32.220001220703125" hidden="0" customWidth="1"/>
    <x:col min="14" max="14" width="16.110000610351562" hidden="0" customWidth="1"/>
    <x:col min="15" max="15" width="11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Cybersecurity risk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Northstar Client Services — fictional training case, 26 Oct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8" customHeight="1">
      <x:c r="A4" s="2" t="str">
        <x:v>Risks identified</x:v>
      </x:c>
      <x:c r="B4" s="5" t="n">
        <x:f>COUNTA(A7:A11)</x:f>
        <x:v>5</x:v>
      </x:c>
      <x:c r="C4" s="2"/>
      <x:c r="D4" s="2" t="str">
        <x:v>Risks scored</x:v>
      </x:c>
      <x:c r="E4" s="5" t="n">
        <x:f>COUNT(G7:G11)</x:f>
        <x:v>1</x:v>
      </x:c>
      <x:c r="F4" s="2"/>
      <x:c r="G4" s="2" t="str">
        <x:v>High or critical</x:v>
      </x:c>
      <x:c r="H4" s="5" t="n">
        <x:f>COUNTIFS(H7:H11,"High")+COUNTIFS(H7:H11,"Critical")</x:f>
        <x:v>1</x:v>
      </x:c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6" customHeight="1">
      <x:c r="A6" s="9" t="str">
        <x:v>Risk ID</x:v>
      </x:c>
      <x:c r="B6" s="9" t="str">
        <x:v>Asset / process</x:v>
      </x:c>
      <x:c r="C6" s="9" t="str">
        <x:v>Risk statement</x:v>
      </x:c>
      <x:c r="D6" s="9" t="str">
        <x:v>Assumed control gap</x:v>
      </x:c>
      <x:c r="E6" s="9" t="str">
        <x:v>Likelihood (1–5)</x:v>
      </x:c>
      <x:c r="F6" s="9" t="str">
        <x:v>Impact (1–5)</x:v>
      </x:c>
      <x:c r="G6" s="9" t="str">
        <x:v>Inherent score</x:v>
      </x:c>
      <x:c r="H6" s="9" t="str">
        <x:v>Inherent rating</x:v>
      </x:c>
      <x:c r="I6" s="9" t="str">
        <x:v>NIST CSF 2.0</x:v>
      </x:c>
      <x:c r="J6" s="9" t="str">
        <x:v>Response</x:v>
      </x:c>
      <x:c r="K6" s="9" t="str">
        <x:v>Recommended control actions</x:v>
      </x:c>
      <x:c r="L6" s="9" t="str">
        <x:v>Owner (role)</x:v>
      </x:c>
      <x:c r="M6" s="9" t="str">
        <x:v>Evidence to request</x:v>
      </x:c>
      <x:c r="N6" s="9" t="str">
        <x:v>Assessment status</x:v>
      </x:c>
      <x:c r="O6" s="9" t="str">
        <x:v>Target date</x:v>
      </x:c>
    </x:row>
    <x:row r="7" ht="72" customHeight="1">
      <x:c r="A7" s="2" t="str">
        <x:v>GRC-001</x:v>
      </x:c>
      <x:c r="B7" s="2" t="str">
        <x:v>Microsoft 365 identities</x:v>
      </x:c>
      <x:c r="C7" s="11" t="str">
        <x:v>Stolen employee passwords could allow attackers to access client files.</x:v>
      </x:c>
      <x:c r="D7" s="11" t="str">
        <x:v>Multi-factor authentication (MFA) is assumed to be missing for some accounts.</x:v>
      </x:c>
      <x:c r="E7" s="13" t="n">
        <x:v>4</x:v>
      </x:c>
      <x:c r="F7" s="13" t="n">
        <x:v>5</x:v>
      </x:c>
      <x:c r="G7" s="14" t="n">
        <x:f>IF(OR(E7="",F7=""),"",E7*F7)</x:f>
        <x:v>20</x:v>
      </x:c>
      <x:c r="H7" s="14" t="str">
        <x:f>IF(G7="","Not assessed",IF(G7&gt;=17,"Critical",IF(G7&gt;=10,"High",IF(G7&gt;=5,"Moderate","Low"))))</x:f>
        <x:v>Critical</x:v>
      </x:c>
      <x:c r="I7" s="2" t="str">
        <x:v>PR.AA-03</x:v>
      </x:c>
      <x:c r="J7" s="13" t="str">
        <x:v>Mitigate</x:v>
      </x:c>
      <x:c r="K7" s="11" t="str">
        <x:v>Enforce MFA for all users; prioritize admins; verify policy with sign-in logs.</x:v>
      </x:c>
      <x:c r="L7" s="13" t="str">
        <x:v>IT Manager</x:v>
      </x:c>
      <x:c r="M7" s="11" t="str">
        <x:v>MFA settings, enrollment report, sign-in logs</x:v>
      </x:c>
      <x:c r="N7" s="13" t="str">
        <x:v>Draft / hypothetical</x:v>
      </x:c>
      <x:c r="O7" s="15"/>
    </x:row>
    <x:row r="8" ht="72" customHeight="1">
      <x:c r="A8" s="10" t="str">
        <x:v>GRC-002</x:v>
      </x:c>
      <x:c r="B8" s="10" t="str">
        <x:v>Cloud backup and recovery</x:v>
      </x:c>
      <x:c r="C8" s="12" t="str">
        <x:v>A ransomware incident could cause prolonged downtime if backups cannot be restored.</x:v>
      </x:c>
      <x:c r="D8" s="12" t="str">
        <x:v>Recovery tests are assumed to be absent or outdated.</x:v>
      </x:c>
      <x:c r="E8" s="13"/>
      <x:c r="F8" s="13"/>
      <x:c r="G8" s="14" t="str">
        <x:f>IF(OR(E8="",F8=""),"",E8*F8)</x:f>
      </x:c>
      <x:c r="H8" s="14" t="str">
        <x:f>IF(G8="","Not assessed",IF(G8&gt;=17,"Critical",IF(G8&gt;=10,"High",IF(G8&gt;=5,"Moderate","Low"))))</x:f>
        <x:v>Not assessed</x:v>
      </x:c>
      <x:c r="I8" s="10" t="str">
        <x:v>PR.DS-11</x:v>
      </x:c>
      <x:c r="J8" s="13" t="str">
        <x:v>Mitigate</x:v>
      </x:c>
      <x:c r="K8" s="12" t="str">
        <x:v>Schedule restore tests, monitor backup failures, and keep test evidence.</x:v>
      </x:c>
      <x:c r="L8" s="13" t="str">
        <x:v>IT Manager</x:v>
      </x:c>
      <x:c r="M8" s="12" t="str">
        <x:v>Backup policy, restore test records, backup job alerts</x:v>
      </x:c>
      <x:c r="N8" s="13" t="str">
        <x:v>Pending assessment</x:v>
      </x:c>
      <x:c r="O8" s="15"/>
    </x:row>
    <x:row r="9" ht="72" customHeight="1">
      <x:c r="A9" s="2" t="str">
        <x:v>GRC-003</x:v>
      </x:c>
      <x:c r="B9" s="2" t="str">
        <x:v>Windows endpoints</x:v>
      </x:c>
      <x:c r="C9" s="11" t="str">
        <x:v>An attacker could exploit unpatched software and compromise workstations.</x:v>
      </x:c>
      <x:c r="D9" s="11" t="str">
        <x:v>Security patches are assumed to be applied late on some laptops.</x:v>
      </x:c>
      <x:c r="E9" s="13"/>
      <x:c r="F9" s="13"/>
      <x:c r="G9" s="14" t="str">
        <x:f>IF(OR(E9="",F9=""),"",E9*F9)</x:f>
      </x:c>
      <x:c r="H9" s="14" t="str">
        <x:f>IF(G9="","Not assessed",IF(G9&gt;=17,"Critical",IF(G9&gt;=10,"High",IF(G9&gt;=5,"Moderate","Low"))))</x:f>
        <x:v>Not assessed</x:v>
      </x:c>
      <x:c r="I9" s="2" t="str">
        <x:v>PR.PS-02</x:v>
      </x:c>
      <x:c r="J9" s="13" t="str">
        <x:v>Mitigate</x:v>
      </x:c>
      <x:c r="K9" s="11" t="str">
        <x:v>Document patch deadlines, monitor update compliance, and remediate exceptions.</x:v>
      </x:c>
      <x:c r="L9" s="13" t="str">
        <x:v>Endpoint Administrator</x:v>
      </x:c>
      <x:c r="M9" s="11" t="str">
        <x:v>Patch dashboard, device inventory, exception list</x:v>
      </x:c>
      <x:c r="N9" s="13" t="str">
        <x:v>Pending assessment</x:v>
      </x:c>
      <x:c r="O9" s="15"/>
    </x:row>
    <x:row r="10" ht="72" customHeight="1">
      <x:c r="A10" s="10" t="str">
        <x:v>GRC-004</x:v>
      </x:c>
      <x:c r="B10" s="10" t="str">
        <x:v>Shared client documents</x:v>
      </x:c>
      <x:c r="C10" s="12" t="str">
        <x:v>Excessive access permissions could expose confidential client information.</x:v>
      </x:c>
      <x:c r="D10" s="12" t="str">
        <x:v>Shared folders are assumed to give broad access beyond job needs.</x:v>
      </x:c>
      <x:c r="E10" s="13"/>
      <x:c r="F10" s="13"/>
      <x:c r="G10" s="14" t="str">
        <x:f>IF(OR(E10="",F10=""),"",E10*F10)</x:f>
      </x:c>
      <x:c r="H10" s="14" t="str">
        <x:f>IF(G10="","Not assessed",IF(G10&gt;=17,"Critical",IF(G10&gt;=10,"High",IF(G10&gt;=5,"Moderate","Low"))))</x:f>
        <x:v>Not assessed</x:v>
      </x:c>
      <x:c r="I10" s="10" t="str">
        <x:v>PR.AA-05</x:v>
      </x:c>
      <x:c r="J10" s="13" t="str">
        <x:v>Mitigate</x:v>
      </x:c>
      <x:c r="K10" s="12" t="str">
        <x:v>Review shared-file permissions, remove unnecessary access, and set periodic reviews.</x:v>
      </x:c>
      <x:c r="L10" s="13" t="str">
        <x:v>Data Owner</x:v>
      </x:c>
      <x:c r="M10" s="12" t="str">
        <x:v>Permission exports, access review sign-off, policy</x:v>
      </x:c>
      <x:c r="N10" s="13" t="str">
        <x:v>Pending assessment</x:v>
      </x:c>
      <x:c r="O10" s="15"/>
    </x:row>
    <x:row r="11" ht="72" customHeight="1">
      <x:c r="A11" s="2" t="str">
        <x:v>GRC-005</x:v>
      </x:c>
      <x:c r="B11" s="2" t="str">
        <x:v>Employee phishing awareness</x:v>
      </x:c>
      <x:c r="C11" s="11" t="str">
        <x:v>A phishing email could trick staff into giving up passwords or opening malware.</x:v>
      </x:c>
      <x:c r="D11" s="11" t="str">
        <x:v>Security-awareness training is assumed to be inconsistent.</x:v>
      </x:c>
      <x:c r="E11" s="13"/>
      <x:c r="F11" s="13"/>
      <x:c r="G11" s="14" t="str">
        <x:f>IF(OR(E11="",F11=""),"",E11*F11)</x:f>
      </x:c>
      <x:c r="H11" s="14" t="str">
        <x:f>IF(G11="","Not assessed",IF(G11&gt;=17,"Critical",IF(G11&gt;=10,"High",IF(G11&gt;=5,"Moderate","Low"))))</x:f>
        <x:v>Not assessed</x:v>
      </x:c>
      <x:c r="I11" s="2" t="str">
        <x:v>PR.AT-01</x:v>
      </x:c>
      <x:c r="J11" s="13" t="str">
        <x:v>Mitigate</x:v>
      </x:c>
      <x:c r="K11" s="11" t="str">
        <x:v>Assign annual training and targeted refreshers; track completion and follow-up.</x:v>
      </x:c>
      <x:c r="L11" s="13" t="str">
        <x:v>Security Lead</x:v>
      </x:c>
      <x:c r="M11" s="11" t="str">
        <x:v>Training completion records, awareness plan</x:v>
      </x:c>
      <x:c r="N11" s="13" t="str">
        <x:v>Pending assessment</x:v>
      </x:c>
      <x:c r="O11" s="15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</x:sheetData>
  <x:conditionalFormatting sqref="H7:H11">
    <x:cfRule type="containsText" dxfId="0" priority="1" operator="containsText" text="Critical"/>
    <x:cfRule type="containsText" dxfId="1" priority="2" operator="containsText" text="High"/>
  </x:conditionalFormatting>
  <x:dataValidations count="3">
    <x:dataValidation type="list" sqref="E7:F11">
      <x:formula1>"1,2,3,4,5"</x:formula1>
    </x:dataValidation>
    <x:dataValidation type="list" sqref="J7:J11">
      <x:formula1>"Mitigate,Accept,Transfer,Avoid"</x:formula1>
    </x:dataValidation>
    <x:dataValidation type="list" sqref="N7:N11">
      <x:formula1>"Draft / hypothetical,Pending assessment,Reviewed,Needs evidence"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2AEC0"/>
  </x:sheetPr>
  <x:sheetViews>
    <x:sheetView showGridLines="0" workbookViewId="0"/>
  </x:sheetViews>
  <x:sheetFormatPr defaultRowHeight="15"/>
  <x:cols>
    <x:col min="1" max="1" width="20.559999465942383" hidden="0" customWidth="1"/>
    <x:col min="2" max="2" width="40.560001373291016" hidden="0" customWidth="1"/>
    <x:col min="3" max="3" width="2.6700000762939453" hidden="0" customWidth="1"/>
    <x:col min="4" max="4" width="20" hidden="0" customWidth="1"/>
    <x:col min="5" max="5" width="43.3300018310546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Risk scoring guide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Project-defined illustrative scales; NIST CSF 2.0 does not prescribe this formula.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9" customHeight="1">
      <x:c r="A5" s="7" t="str">
        <x:v>Likelihood score</x:v>
      </x:c>
      <x:c r="B5" s="7" t="str">
        <x:v>Illustrative definition</x:v>
      </x:c>
      <x:c r="C5" s="2"/>
      <x:c r="D5" s="7" t="str">
        <x:v>Impact score</x:v>
      </x:c>
      <x:c r="E5" s="7" t="str">
        <x:v>Illustrative definition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7" customHeight="1">
      <x:c r="A6" s="2" t="n">
        <x:v>1</x:v>
      </x:c>
      <x:c r="B6" s="2" t="str">
        <x:v>Rare: not expected in normal conditions</x:v>
      </x:c>
      <x:c r="C6" s="2"/>
      <x:c r="D6" s="2" t="n">
        <x:v>1</x:v>
      </x:c>
      <x:c r="E6" s="2" t="str">
        <x:v>Negligible: minimal disruption or loss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7" customHeight="1">
      <x:c r="A7" s="2" t="n">
        <x:v>2</x:v>
      </x:c>
      <x:c r="B7" s="2" t="str">
        <x:v>Unlikely: possible but infrequent</x:v>
      </x:c>
      <x:c r="C7" s="2"/>
      <x:c r="D7" s="2" t="n">
        <x:v>2</x:v>
      </x:c>
      <x:c r="E7" s="2" t="str">
        <x:v>Minor: limited operational effects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7" customHeight="1">
      <x:c r="A8" s="2" t="n">
        <x:v>3</x:v>
      </x:c>
      <x:c r="B8" s="2" t="str">
        <x:v>Possible: plausible occurrence</x:v>
      </x:c>
      <x:c r="C8" s="2"/>
      <x:c r="D8" s="2" t="n">
        <x:v>3</x:v>
      </x:c>
      <x:c r="E8" s="2" t="str">
        <x:v>Moderate: meaningful disruption or cost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7" customHeight="1">
      <x:c r="A9" s="2" t="n">
        <x:v>4</x:v>
      </x:c>
      <x:c r="B9" s="2" t="str">
        <x:v>Likely: elevated probability</x:v>
      </x:c>
      <x:c r="C9" s="2"/>
      <x:c r="D9" s="2" t="n">
        <x:v>4</x:v>
      </x:c>
      <x:c r="E9" s="2" t="str">
        <x:v>Major: serious service or data impact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7" customHeight="1">
      <x:c r="A10" s="2" t="n">
        <x:v>5</x:v>
      </x:c>
      <x:c r="B10" s="2" t="str">
        <x:v>Very likely: frequent or expected</x:v>
      </x:c>
      <x:c r="C10" s="2"/>
      <x:c r="D10" s="2" t="n">
        <x:v>5</x:v>
      </x:c>
      <x:c r="E10" s="2" t="str">
        <x:v>Severe: sustained outage or sensitive-data exposure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16" t="str">
        <x:v>Inherent risk score = likelihood × impact (before improvements)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8" customHeight="1">
      <x:c r="A15" s="7" t="str">
        <x:v>Rating</x:v>
      </x:c>
      <x:c r="B15" s="7" t="str">
        <x:v>Score range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 t="str">
        <x:v>Low</x:v>
      </x:c>
      <x:c r="B16" s="2" t="str">
        <x:v>1–4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 t="str">
        <x:v>Moderate</x:v>
      </x:c>
      <x:c r="B17" s="2" t="str">
        <x:v>5–9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 t="str">
        <x:v>High</x:v>
      </x:c>
      <x:c r="B18" s="2" t="str">
        <x:v>10–16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 t="str">
        <x:v>Critical</x:v>
      </x:c>
      <x:c r="B19" s="2" t="str">
        <x:v>17–25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17" t="str">
        <x:v>Only GRC-001 is scored as a worked example. Other risks await assessment.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17" t="str">
        <x:v>Do not treat hypothetical gaps as verified control failures or completed audit findings.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 t="str">
        <x:v>Framework reference</x:v>
      </x:c>
      <x:c r="B24" s="2" t="str">
        <x:v>https://nvlpubs.nist.gov/nistpubs/CSWP/NIST.CSWP.29.pdf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</x:sheetData>
  <x:pageMargins left="0.7" right="0.7" top="0.75" bottom="0.75" header="0.3" footer="0.3"/>
</x:worksheet>
</file>